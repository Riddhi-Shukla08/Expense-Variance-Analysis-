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361DC6-08D5-40DD-8C31-E47DBAF49B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e Data" sheetId="1" r:id="rId1"/>
  </sheets>
  <definedNames>
    <definedName name="_xlnm._FilterDatabase" localSheetId="0" hidden="1">'Expense Data'!$A$1:$F$61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sharedStrings.xml><?xml version="1.0" encoding="utf-8"?>
<sst xmlns="http://schemas.openxmlformats.org/spreadsheetml/2006/main" count="127" uniqueCount="24">
  <si>
    <t>Month</t>
  </si>
  <si>
    <t>Expense Category</t>
  </si>
  <si>
    <t>Budget</t>
  </si>
  <si>
    <t>Actual</t>
  </si>
  <si>
    <t>Variance</t>
  </si>
  <si>
    <t>Variance %</t>
  </si>
  <si>
    <t>Jan</t>
  </si>
  <si>
    <t>Marketing</t>
  </si>
  <si>
    <t>Salaries</t>
  </si>
  <si>
    <t>Rent</t>
  </si>
  <si>
    <t>Utilities</t>
  </si>
  <si>
    <t>Travel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</si>
  <si>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</si>
  <si>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</si>
  <si>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</si>
  <si>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</si>
  <si>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</si>
  <si>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</si>
  <si>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</si>
  <si>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</si>
  <si>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</si>
  <si>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</si>
  <si>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</si>
  <si>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Gap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</si>
</sst>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activePane="bottomLeft" state="frozen"/>
      <selection pane="bottomLeft" activeCell="H60" sqref="H60"/>
    </sheetView>
  </sheetViews>
  <sheetFormatPr defaultRowHeight="15" x14ac:dyDescent="0.25"/>
  <cols>
    <col min="1" max="1" width="12.140625" customWidth="1"/>
    <col min="2" max="2" width="22.140625" customWidth="1"/>
    <col min="3" max="3" width="13.42578125" customWidth="1"/>
    <col min="4" max="4" width="13.140625" customWidth="1"/>
    <col min="5" max="5" width="14.140625" customWidth="1"/>
    <col min="6" max="6" width="22" customWidth="1"/>
    <col min="7" max="7" width="1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23</v>
      </c>
    </row>
    <row r="2" spans="1:7" x14ac:dyDescent="0.25">
      <c r="A2" t="s">
        <v>6</v>
      </c>
      <c r="B2" t="s">
        <v>7</v>
      </c>
      <c r="C2" s="2">
        <v>50000</v>
      </c>
      <c r="D2" s="2">
        <v>54000</v>
      </c>
      <c r="E2" s="2">
        <v>4000</v>
      </c>
      <c r="F2" s="3">
        <v>0.08</v>
      </c>
      <c r="G2" t="str">
        <f>IF(ABS(F2)&gt;=10%,"Material Gap","Within Limit")</f>
        <v>Within Limit</v>
      </c>
    </row>
    <row r="3" spans="1:7" x14ac:dyDescent="0.25">
      <c r="A3" t="s">
        <v>6</v>
      </c>
      <c r="B3" t="s">
        <v>8</v>
      </c>
      <c r="C3" s="2">
        <v>180000</v>
      </c>
      <c r="D3" s="2">
        <v>178000</v>
      </c>
      <c r="E3" s="2">
        <v>-2000</v>
      </c>
      <c r="F3" s="3">
        <v>-1.111111111111111E-2</v>
      </c>
      <c r="G3" t="str">
        <f t="shared" ref="G3:G61" si="0">IF(ABS(F3)&gt;=10%,"Material Gap","Within Limit")</f>
        <v>Within Limit</v>
      </c>
    </row>
    <row r="4" spans="1:7" x14ac:dyDescent="0.25">
      <c r="A4" t="s">
        <v>6</v>
      </c>
      <c r="B4" t="s">
        <v>9</v>
      </c>
      <c r="C4" s="2">
        <v>60000</v>
      </c>
      <c r="D4" s="2">
        <v>60000</v>
      </c>
      <c r="E4" s="2">
        <v>0</v>
      </c>
      <c r="F4" s="3">
        <v>0</v>
      </c>
      <c r="G4" t="str">
        <f t="shared" si="0"/>
        <v>Within Limit</v>
      </c>
    </row>
    <row r="5" spans="1:7" x14ac:dyDescent="0.25">
      <c r="A5" t="s">
        <v>6</v>
      </c>
      <c r="B5" t="s">
        <v>10</v>
      </c>
      <c r="C5" s="2">
        <v>25000</v>
      </c>
      <c r="D5" s="2">
        <v>28000</v>
      </c>
      <c r="E5" s="2">
        <v>3000</v>
      </c>
      <c r="F5" s="3">
        <v>0.12</v>
      </c>
      <c r="G5" t="str">
        <f t="shared" si="0"/>
        <v>Material Gap</v>
      </c>
    </row>
    <row r="6" spans="1:7" x14ac:dyDescent="0.25">
      <c r="A6" t="s">
        <v>6</v>
      </c>
      <c r="B6" t="s">
        <v>11</v>
      </c>
      <c r="C6" s="2">
        <v>20000</v>
      </c>
      <c r="D6" s="2">
        <v>17000</v>
      </c>
      <c r="E6" s="2">
        <v>-3000</v>
      </c>
      <c r="F6" s="3">
        <v>-0.15</v>
      </c>
      <c r="G6" t="str">
        <f t="shared" si="0"/>
        <v>Material Gap</v>
      </c>
    </row>
    <row r="7" spans="1:7" x14ac:dyDescent="0.25">
      <c r="A7" t="s">
        <v>12</v>
      </c>
      <c r="B7" t="s">
        <v>7</v>
      </c>
      <c r="C7" s="2">
        <v>52000</v>
      </c>
      <c r="D7" s="2">
        <v>50000</v>
      </c>
      <c r="E7" s="2">
        <v>-2000</v>
      </c>
      <c r="F7" s="3">
        <v>-3.8461538461538457E-2</v>
      </c>
      <c r="G7" t="str">
        <f t="shared" si="0"/>
        <v>Within Limit</v>
      </c>
    </row>
    <row r="8" spans="1:7" x14ac:dyDescent="0.25">
      <c r="A8" t="s">
        <v>12</v>
      </c>
      <c r="B8" t="s">
        <v>8</v>
      </c>
      <c r="C8" s="2">
        <v>180000</v>
      </c>
      <c r="D8" s="2">
        <v>182000</v>
      </c>
      <c r="E8" s="2">
        <v>2000</v>
      </c>
      <c r="F8" s="3">
        <v>1.111111111111111E-2</v>
      </c>
      <c r="G8" t="str">
        <f t="shared" si="0"/>
        <v>Within Limit</v>
      </c>
    </row>
    <row r="9" spans="1:7" x14ac:dyDescent="0.25">
      <c r="A9" t="s">
        <v>12</v>
      </c>
      <c r="B9" t="s">
        <v>9</v>
      </c>
      <c r="C9" s="2">
        <v>60000</v>
      </c>
      <c r="D9" s="2">
        <v>60000</v>
      </c>
      <c r="E9" s="2">
        <v>0</v>
      </c>
      <c r="F9" s="3">
        <v>0</v>
      </c>
      <c r="G9" t="str">
        <f t="shared" si="0"/>
        <v>Within Limit</v>
      </c>
    </row>
    <row r="10" spans="1:7" x14ac:dyDescent="0.25">
      <c r="A10" t="s">
        <v>12</v>
      </c>
      <c r="B10" t="s">
        <v>10</v>
      </c>
      <c r="C10" s="2">
        <v>25000</v>
      </c>
      <c r="D10" s="2">
        <v>24000</v>
      </c>
      <c r="E10" s="2">
        <v>-1000</v>
      </c>
      <c r="F10" s="3">
        <v>-0.04</v>
      </c>
      <c r="G10" t="str">
        <f t="shared" si="0"/>
        <v>Within Limit</v>
      </c>
    </row>
    <row r="11" spans="1:7" x14ac:dyDescent="0.25">
      <c r="A11" t="s">
        <v>12</v>
      </c>
      <c r="B11" t="s">
        <v>11</v>
      </c>
      <c r="C11" s="2">
        <v>22000</v>
      </c>
      <c r="D11" s="2">
        <v>26000</v>
      </c>
      <c r="E11" s="2">
        <v>4000</v>
      </c>
      <c r="F11" s="3">
        <v>0.1818181818181818</v>
      </c>
      <c r="G11" t="str">
        <f t="shared" si="0"/>
        <v>Material Gap</v>
      </c>
    </row>
    <row r="12" spans="1:7" x14ac:dyDescent="0.25">
      <c r="A12" t="s">
        <v>13</v>
      </c>
      <c r="B12" t="s">
        <v>7</v>
      </c>
      <c r="C12" s="2">
        <v>55000</v>
      </c>
      <c r="D12" s="2">
        <v>61000</v>
      </c>
      <c r="E12" s="2">
        <v>6000</v>
      </c>
      <c r="F12" s="3">
        <v>0.1090909090909091</v>
      </c>
      <c r="G12" t="str">
        <f t="shared" si="0"/>
        <v>Material Gap</v>
      </c>
    </row>
    <row r="13" spans="1:7" x14ac:dyDescent="0.25">
      <c r="A13" t="s">
        <v>13</v>
      </c>
      <c r="B13" t="s">
        <v>8</v>
      </c>
      <c r="C13" s="2">
        <v>185000</v>
      </c>
      <c r="D13" s="2">
        <v>183000</v>
      </c>
      <c r="E13" s="2">
        <v>-2000</v>
      </c>
      <c r="F13" s="3">
        <v>-1.081081081081081E-2</v>
      </c>
      <c r="G13" t="str">
        <f t="shared" si="0"/>
        <v>Within Limit</v>
      </c>
    </row>
    <row r="14" spans="1:7" x14ac:dyDescent="0.25">
      <c r="A14" t="s">
        <v>13</v>
      </c>
      <c r="B14" t="s">
        <v>9</v>
      </c>
      <c r="C14" s="2">
        <v>60000</v>
      </c>
      <c r="D14" s="2">
        <v>60000</v>
      </c>
      <c r="E14" s="2">
        <v>0</v>
      </c>
      <c r="F14" s="3">
        <v>0</v>
      </c>
      <c r="G14" t="str">
        <f t="shared" si="0"/>
        <v>Within Limit</v>
      </c>
    </row>
    <row r="15" spans="1:7" x14ac:dyDescent="0.25">
      <c r="A15" t="s">
        <v>13</v>
      </c>
      <c r="B15" t="s">
        <v>10</v>
      </c>
      <c r="C15" s="2">
        <v>27000</v>
      </c>
      <c r="D15" s="2">
        <v>30000</v>
      </c>
      <c r="E15" s="2">
        <v>3000</v>
      </c>
      <c r="F15" s="3">
        <v>0.1111111111111111</v>
      </c>
      <c r="G15" t="str">
        <f t="shared" si="0"/>
        <v>Material Gap</v>
      </c>
    </row>
    <row r="16" spans="1:7" x14ac:dyDescent="0.25">
      <c r="A16" t="s">
        <v>13</v>
      </c>
      <c r="B16" t="s">
        <v>11</v>
      </c>
      <c r="C16" s="2">
        <v>25000</v>
      </c>
      <c r="D16" s="2">
        <v>21000</v>
      </c>
      <c r="E16" s="2">
        <v>-4000</v>
      </c>
      <c r="F16" s="3">
        <v>-0.16</v>
      </c>
      <c r="G16" t="str">
        <f t="shared" si="0"/>
        <v>Material Gap</v>
      </c>
    </row>
    <row r="17" spans="1:7" x14ac:dyDescent="0.25">
      <c r="A17" t="s">
        <v>14</v>
      </c>
      <c r="B17" t="s">
        <v>7</v>
      </c>
      <c r="C17" s="2">
        <v>50000</v>
      </c>
      <c r="D17" s="2">
        <v>47000</v>
      </c>
      <c r="E17" s="2">
        <v>-3000</v>
      </c>
      <c r="F17" s="3">
        <v>-0.06</v>
      </c>
      <c r="G17" t="str">
        <f t="shared" si="0"/>
        <v>Within Limit</v>
      </c>
    </row>
    <row r="18" spans="1:7" x14ac:dyDescent="0.25">
      <c r="A18" t="s">
        <v>14</v>
      </c>
      <c r="B18" t="s">
        <v>8</v>
      </c>
      <c r="C18" s="2">
        <v>185000</v>
      </c>
      <c r="D18" s="2">
        <v>190000</v>
      </c>
      <c r="E18" s="2">
        <v>5000</v>
      </c>
      <c r="F18" s="3">
        <v>2.7027027027027029E-2</v>
      </c>
      <c r="G18" t="str">
        <f t="shared" si="0"/>
        <v>Within Limit</v>
      </c>
    </row>
    <row r="19" spans="1:7" x14ac:dyDescent="0.25">
      <c r="A19" t="s">
        <v>14</v>
      </c>
      <c r="B19" t="s">
        <v>9</v>
      </c>
      <c r="C19" s="2">
        <v>60000</v>
      </c>
      <c r="D19" s="2">
        <v>60000</v>
      </c>
      <c r="E19" s="2">
        <v>0</v>
      </c>
      <c r="F19" s="3">
        <v>0</v>
      </c>
      <c r="G19" t="str">
        <f t="shared" si="0"/>
        <v>Within Limit</v>
      </c>
    </row>
    <row r="20" spans="1:7" x14ac:dyDescent="0.25">
      <c r="A20" t="s">
        <v>14</v>
      </c>
      <c r="B20" t="s">
        <v>10</v>
      </c>
      <c r="C20" s="2">
        <v>28000</v>
      </c>
      <c r="D20" s="2">
        <v>26000</v>
      </c>
      <c r="E20" s="2">
        <v>-2000</v>
      </c>
      <c r="F20" s="3">
        <v>-7.1428571428571425E-2</v>
      </c>
      <c r="G20" t="str">
        <f t="shared" si="0"/>
        <v>Within Limit</v>
      </c>
    </row>
    <row r="21" spans="1:7" x14ac:dyDescent="0.25">
      <c r="A21" t="s">
        <v>14</v>
      </c>
      <c r="B21" t="s">
        <v>11</v>
      </c>
      <c r="C21" s="2">
        <v>24000</v>
      </c>
      <c r="D21" s="2">
        <v>29000</v>
      </c>
      <c r="E21" s="2">
        <v>5000</v>
      </c>
      <c r="F21" s="3">
        <v>0.20833333333333329</v>
      </c>
      <c r="G21" t="str">
        <f t="shared" si="0"/>
        <v>Material Gap</v>
      </c>
    </row>
    <row r="22" spans="1:7" x14ac:dyDescent="0.25">
      <c r="A22" t="s">
        <v>15</v>
      </c>
      <c r="B22" t="s">
        <v>7</v>
      </c>
      <c r="C22" s="2">
        <v>58000</v>
      </c>
      <c r="D22" s="2">
        <v>62000</v>
      </c>
      <c r="E22" s="2">
        <v>4000</v>
      </c>
      <c r="F22" s="3">
        <v>6.8965517241379309E-2</v>
      </c>
      <c r="G22" t="str">
        <f t="shared" si="0"/>
        <v>Within Limit</v>
      </c>
    </row>
    <row r="23" spans="1:7" x14ac:dyDescent="0.25">
      <c r="A23" t="s">
        <v>15</v>
      </c>
      <c r="B23" t="s">
        <v>8</v>
      </c>
      <c r="C23" s="2">
        <v>190000</v>
      </c>
      <c r="D23" s="2">
        <v>188000</v>
      </c>
      <c r="E23" s="2">
        <v>-2000</v>
      </c>
      <c r="F23" s="3">
        <v>-1.0526315789473681E-2</v>
      </c>
      <c r="G23" t="str">
        <f t="shared" si="0"/>
        <v>Within Limit</v>
      </c>
    </row>
    <row r="24" spans="1:7" x14ac:dyDescent="0.25">
      <c r="A24" t="s">
        <v>15</v>
      </c>
      <c r="B24" t="s">
        <v>9</v>
      </c>
      <c r="C24" s="2">
        <v>60000</v>
      </c>
      <c r="D24" s="2">
        <v>60000</v>
      </c>
      <c r="E24" s="2">
        <v>0</v>
      </c>
      <c r="F24" s="3">
        <v>0</v>
      </c>
      <c r="G24" t="str">
        <f t="shared" si="0"/>
        <v>Within Limit</v>
      </c>
    </row>
    <row r="25" spans="1:7" x14ac:dyDescent="0.25">
      <c r="A25" t="s">
        <v>15</v>
      </c>
      <c r="B25" t="s">
        <v>10</v>
      </c>
      <c r="C25" s="2">
        <v>28000</v>
      </c>
      <c r="D25" s="2">
        <v>31000</v>
      </c>
      <c r="E25" s="2">
        <v>3000</v>
      </c>
      <c r="F25" s="3">
        <v>0.1071428571428571</v>
      </c>
      <c r="G25" t="str">
        <f t="shared" si="0"/>
        <v>Material Gap</v>
      </c>
    </row>
    <row r="26" spans="1:7" x14ac:dyDescent="0.25">
      <c r="A26" t="s">
        <v>15</v>
      </c>
      <c r="B26" t="s">
        <v>11</v>
      </c>
      <c r="C26" s="2">
        <v>26000</v>
      </c>
      <c r="D26" s="2">
        <v>23000</v>
      </c>
      <c r="E26" s="2">
        <v>-3000</v>
      </c>
      <c r="F26" s="3">
        <v>-0.1153846153846154</v>
      </c>
      <c r="G26" t="str">
        <f t="shared" si="0"/>
        <v>Material Gap</v>
      </c>
    </row>
    <row r="27" spans="1:7" x14ac:dyDescent="0.25">
      <c r="A27" t="s">
        <v>16</v>
      </c>
      <c r="B27" t="s">
        <v>7</v>
      </c>
      <c r="C27" s="2">
        <v>60000</v>
      </c>
      <c r="D27" s="2">
        <v>57000</v>
      </c>
      <c r="E27" s="2">
        <v>-3000</v>
      </c>
      <c r="F27" s="3">
        <v>-0.05</v>
      </c>
      <c r="G27" t="str">
        <f t="shared" si="0"/>
        <v>Within Limit</v>
      </c>
    </row>
    <row r="28" spans="1:7" x14ac:dyDescent="0.25">
      <c r="A28" t="s">
        <v>16</v>
      </c>
      <c r="B28" t="s">
        <v>8</v>
      </c>
      <c r="C28" s="2">
        <v>190000</v>
      </c>
      <c r="D28" s="2">
        <v>194000</v>
      </c>
      <c r="E28" s="2">
        <v>4000</v>
      </c>
      <c r="F28" s="3">
        <v>2.1052631578947371E-2</v>
      </c>
      <c r="G28" t="str">
        <f t="shared" si="0"/>
        <v>Within Limit</v>
      </c>
    </row>
    <row r="29" spans="1:7" x14ac:dyDescent="0.25">
      <c r="A29" t="s">
        <v>16</v>
      </c>
      <c r="B29" t="s">
        <v>9</v>
      </c>
      <c r="C29" s="2">
        <v>60000</v>
      </c>
      <c r="D29" s="2">
        <v>60000</v>
      </c>
      <c r="E29" s="2">
        <v>0</v>
      </c>
      <c r="F29" s="3">
        <v>0</v>
      </c>
      <c r="G29" t="str">
        <f t="shared" si="0"/>
        <v>Within Limit</v>
      </c>
    </row>
    <row r="30" spans="1:7" x14ac:dyDescent="0.25">
      <c r="A30" t="s">
        <v>16</v>
      </c>
      <c r="B30" t="s">
        <v>10</v>
      </c>
      <c r="C30" s="2">
        <v>30000</v>
      </c>
      <c r="D30" s="2">
        <v>33000</v>
      </c>
      <c r="E30" s="2">
        <v>3000</v>
      </c>
      <c r="F30" s="3">
        <v>0.1</v>
      </c>
      <c r="G30" t="str">
        <f t="shared" si="0"/>
        <v>Material Gap</v>
      </c>
    </row>
    <row r="31" spans="1:7" x14ac:dyDescent="0.25">
      <c r="A31" t="s">
        <v>16</v>
      </c>
      <c r="B31" t="s">
        <v>11</v>
      </c>
      <c r="C31" s="2">
        <v>28000</v>
      </c>
      <c r="D31" s="2">
        <v>32000</v>
      </c>
      <c r="E31" s="2">
        <v>4000</v>
      </c>
      <c r="F31" s="3">
        <v>0.14285714285714279</v>
      </c>
      <c r="G31" t="str">
        <f t="shared" si="0"/>
        <v>Material Gap</v>
      </c>
    </row>
    <row r="32" spans="1:7" x14ac:dyDescent="0.25">
      <c r="A32" t="s">
        <v>17</v>
      </c>
      <c r="B32" t="s">
        <v>7</v>
      </c>
      <c r="C32" s="2">
        <v>62000</v>
      </c>
      <c r="D32" s="2">
        <v>68000</v>
      </c>
      <c r="E32" s="2">
        <v>6000</v>
      </c>
      <c r="F32" s="3">
        <v>9.6774193548387094E-2</v>
      </c>
      <c r="G32" t="str">
        <f t="shared" si="0"/>
        <v>Within Limit</v>
      </c>
    </row>
    <row r="33" spans="1:7" x14ac:dyDescent="0.25">
      <c r="A33" t="s">
        <v>17</v>
      </c>
      <c r="B33" t="s">
        <v>8</v>
      </c>
      <c r="C33" s="2">
        <v>195000</v>
      </c>
      <c r="D33" s="2">
        <v>193000</v>
      </c>
      <c r="E33" s="2">
        <v>-2000</v>
      </c>
      <c r="F33" s="3">
        <v>-1.025641025641026E-2</v>
      </c>
      <c r="G33" t="str">
        <f t="shared" si="0"/>
        <v>Within Limit</v>
      </c>
    </row>
    <row r="34" spans="1:7" x14ac:dyDescent="0.25">
      <c r="A34" t="s">
        <v>17</v>
      </c>
      <c r="B34" t="s">
        <v>9</v>
      </c>
      <c r="C34" s="2">
        <v>60000</v>
      </c>
      <c r="D34" s="2">
        <v>60000</v>
      </c>
      <c r="E34" s="2">
        <v>0</v>
      </c>
      <c r="F34" s="3">
        <v>0</v>
      </c>
      <c r="G34" t="str">
        <f t="shared" si="0"/>
        <v>Within Limit</v>
      </c>
    </row>
    <row r="35" spans="1:7" x14ac:dyDescent="0.25">
      <c r="A35" t="s">
        <v>17</v>
      </c>
      <c r="B35" t="s">
        <v>10</v>
      </c>
      <c r="C35" s="2">
        <v>30000</v>
      </c>
      <c r="D35" s="2">
        <v>29000</v>
      </c>
      <c r="E35" s="2">
        <v>-1000</v>
      </c>
      <c r="F35" s="3">
        <v>-3.3333333333333333E-2</v>
      </c>
      <c r="G35" t="str">
        <f t="shared" si="0"/>
        <v>Within Limit</v>
      </c>
    </row>
    <row r="36" spans="1:7" x14ac:dyDescent="0.25">
      <c r="A36" t="s">
        <v>17</v>
      </c>
      <c r="B36" t="s">
        <v>11</v>
      </c>
      <c r="C36" s="2">
        <v>30000</v>
      </c>
      <c r="D36" s="2">
        <v>27000</v>
      </c>
      <c r="E36" s="2">
        <v>-3000</v>
      </c>
      <c r="F36" s="3">
        <v>-0.1</v>
      </c>
      <c r="G36" t="str">
        <f t="shared" si="0"/>
        <v>Material Gap</v>
      </c>
    </row>
    <row r="37" spans="1:7" x14ac:dyDescent="0.25">
      <c r="A37" t="s">
        <v>18</v>
      </c>
      <c r="B37" t="s">
        <v>7</v>
      </c>
      <c r="C37" s="2">
        <v>65000</v>
      </c>
      <c r="D37" s="2">
        <v>63000</v>
      </c>
      <c r="E37" s="2">
        <v>-2000</v>
      </c>
      <c r="F37" s="3">
        <v>-3.0769230769230771E-2</v>
      </c>
      <c r="G37" t="str">
        <f t="shared" si="0"/>
        <v>Within Limit</v>
      </c>
    </row>
    <row r="38" spans="1:7" x14ac:dyDescent="0.25">
      <c r="A38" t="s">
        <v>18</v>
      </c>
      <c r="B38" t="s">
        <v>8</v>
      </c>
      <c r="C38" s="2">
        <v>195000</v>
      </c>
      <c r="D38" s="2">
        <v>199000</v>
      </c>
      <c r="E38" s="2">
        <v>4000</v>
      </c>
      <c r="F38" s="3">
        <v>2.0512820512820509E-2</v>
      </c>
      <c r="G38" t="str">
        <f t="shared" si="0"/>
        <v>Within Limit</v>
      </c>
    </row>
    <row r="39" spans="1:7" x14ac:dyDescent="0.25">
      <c r="A39" t="s">
        <v>18</v>
      </c>
      <c r="B39" t="s">
        <v>9</v>
      </c>
      <c r="C39" s="2">
        <v>60000</v>
      </c>
      <c r="D39" s="2">
        <v>60000</v>
      </c>
      <c r="E39" s="2">
        <v>0</v>
      </c>
      <c r="F39" s="3">
        <v>0</v>
      </c>
      <c r="G39" t="str">
        <f t="shared" si="0"/>
        <v>Within Limit</v>
      </c>
    </row>
    <row r="40" spans="1:7" x14ac:dyDescent="0.25">
      <c r="A40" t="s">
        <v>18</v>
      </c>
      <c r="B40" t="s">
        <v>10</v>
      </c>
      <c r="C40" s="2">
        <v>32000</v>
      </c>
      <c r="D40" s="2">
        <v>35000</v>
      </c>
      <c r="E40" s="2">
        <v>3000</v>
      </c>
      <c r="F40" s="3">
        <v>9.375E-2</v>
      </c>
      <c r="G40" t="str">
        <f t="shared" si="0"/>
        <v>Within Limit</v>
      </c>
    </row>
    <row r="41" spans="1:7" x14ac:dyDescent="0.25">
      <c r="A41" t="s">
        <v>18</v>
      </c>
      <c r="B41" t="s">
        <v>11</v>
      </c>
      <c r="C41" s="2">
        <v>32000</v>
      </c>
      <c r="D41" s="2">
        <v>36000</v>
      </c>
      <c r="E41" s="2">
        <v>4000</v>
      </c>
      <c r="F41" s="3">
        <v>0.125</v>
      </c>
      <c r="G41" t="str">
        <f t="shared" si="0"/>
        <v>Material Gap</v>
      </c>
    </row>
    <row r="42" spans="1:7" x14ac:dyDescent="0.25">
      <c r="A42" t="s">
        <v>19</v>
      </c>
      <c r="B42" t="s">
        <v>7</v>
      </c>
      <c r="C42" s="2">
        <v>60000</v>
      </c>
      <c r="D42" s="2">
        <v>66000</v>
      </c>
      <c r="E42" s="2">
        <v>6000</v>
      </c>
      <c r="F42" s="3">
        <v>0.1</v>
      </c>
      <c r="G42" t="str">
        <f t="shared" si="0"/>
        <v>Material Gap</v>
      </c>
    </row>
    <row r="43" spans="1:7" x14ac:dyDescent="0.25">
      <c r="A43" t="s">
        <v>19</v>
      </c>
      <c r="B43" t="s">
        <v>8</v>
      </c>
      <c r="C43" s="2">
        <v>200000</v>
      </c>
      <c r="D43" s="2">
        <v>198000</v>
      </c>
      <c r="E43" s="2">
        <v>-2000</v>
      </c>
      <c r="F43" s="3">
        <v>-0.01</v>
      </c>
      <c r="G43" t="str">
        <f t="shared" si="0"/>
        <v>Within Limit</v>
      </c>
    </row>
    <row r="44" spans="1:7" x14ac:dyDescent="0.25">
      <c r="A44" t="s">
        <v>19</v>
      </c>
      <c r="B44" t="s">
        <v>9</v>
      </c>
      <c r="C44" s="2">
        <v>60000</v>
      </c>
      <c r="D44" s="2">
        <v>60000</v>
      </c>
      <c r="E44" s="2">
        <v>0</v>
      </c>
      <c r="F44" s="3">
        <v>0</v>
      </c>
      <c r="G44" t="str">
        <f t="shared" si="0"/>
        <v>Within Limit</v>
      </c>
    </row>
    <row r="45" spans="1:7" x14ac:dyDescent="0.25">
      <c r="A45" t="s">
        <v>19</v>
      </c>
      <c r="B45" t="s">
        <v>10</v>
      </c>
      <c r="C45" s="2">
        <v>32000</v>
      </c>
      <c r="D45" s="2">
        <v>30000</v>
      </c>
      <c r="E45" s="2">
        <v>-2000</v>
      </c>
      <c r="F45" s="3">
        <v>-6.25E-2</v>
      </c>
      <c r="G45" t="str">
        <f t="shared" si="0"/>
        <v>Within Limit</v>
      </c>
    </row>
    <row r="46" spans="1:7" x14ac:dyDescent="0.25">
      <c r="A46" t="s">
        <v>19</v>
      </c>
      <c r="B46" t="s">
        <v>11</v>
      </c>
      <c r="C46" s="2">
        <v>30000</v>
      </c>
      <c r="D46" s="2">
        <v>28000</v>
      </c>
      <c r="E46" s="2">
        <v>-2000</v>
      </c>
      <c r="F46" s="3">
        <v>-6.6666666666666666E-2</v>
      </c>
      <c r="G46" t="str">
        <f t="shared" si="0"/>
        <v>Within Limit</v>
      </c>
    </row>
    <row r="47" spans="1:7" x14ac:dyDescent="0.25">
      <c r="A47" t="s">
        <v>20</v>
      </c>
      <c r="B47" t="s">
        <v>7</v>
      </c>
      <c r="C47" s="2">
        <v>65000</v>
      </c>
      <c r="D47" s="2">
        <v>70000</v>
      </c>
      <c r="E47" s="2">
        <v>5000</v>
      </c>
      <c r="F47" s="3">
        <v>7.6923076923076927E-2</v>
      </c>
      <c r="G47" t="str">
        <f t="shared" si="0"/>
        <v>Within Limit</v>
      </c>
    </row>
    <row r="48" spans="1:7" x14ac:dyDescent="0.25">
      <c r="A48" t="s">
        <v>20</v>
      </c>
      <c r="B48" t="s">
        <v>8</v>
      </c>
      <c r="C48" s="2">
        <v>200000</v>
      </c>
      <c r="D48" s="2">
        <v>204000</v>
      </c>
      <c r="E48" s="2">
        <v>4000</v>
      </c>
      <c r="F48" s="3">
        <v>0.02</v>
      </c>
      <c r="G48" t="str">
        <f t="shared" si="0"/>
        <v>Within Limit</v>
      </c>
    </row>
    <row r="49" spans="1:7" x14ac:dyDescent="0.25">
      <c r="A49" t="s">
        <v>20</v>
      </c>
      <c r="B49" t="s">
        <v>9</v>
      </c>
      <c r="C49" s="2">
        <v>60000</v>
      </c>
      <c r="D49" s="2">
        <v>60000</v>
      </c>
      <c r="E49" s="2">
        <v>0</v>
      </c>
      <c r="F49" s="3">
        <v>0</v>
      </c>
      <c r="G49" t="str">
        <f t="shared" si="0"/>
        <v>Within Limit</v>
      </c>
    </row>
    <row r="50" spans="1:7" x14ac:dyDescent="0.25">
      <c r="A50" t="s">
        <v>20</v>
      </c>
      <c r="B50" t="s">
        <v>10</v>
      </c>
      <c r="C50" s="2">
        <v>33000</v>
      </c>
      <c r="D50" s="2">
        <v>36000</v>
      </c>
      <c r="E50" s="2">
        <v>3000</v>
      </c>
      <c r="F50" s="3">
        <v>9.0909090909090912E-2</v>
      </c>
      <c r="G50" t="str">
        <f t="shared" si="0"/>
        <v>Within Limit</v>
      </c>
    </row>
    <row r="51" spans="1:7" x14ac:dyDescent="0.25">
      <c r="A51" t="s">
        <v>20</v>
      </c>
      <c r="B51" t="s">
        <v>11</v>
      </c>
      <c r="C51" s="2">
        <v>32000</v>
      </c>
      <c r="D51" s="2">
        <v>35000</v>
      </c>
      <c r="E51" s="2">
        <v>3000</v>
      </c>
      <c r="F51" s="3">
        <v>9.375E-2</v>
      </c>
      <c r="G51" t="str">
        <f t="shared" si="0"/>
        <v>Within Limit</v>
      </c>
    </row>
    <row r="52" spans="1:7" x14ac:dyDescent="0.25">
      <c r="A52" t="s">
        <v>21</v>
      </c>
      <c r="B52" t="s">
        <v>7</v>
      </c>
      <c r="C52" s="2">
        <v>68000</v>
      </c>
      <c r="D52" s="2">
        <v>64000</v>
      </c>
      <c r="E52" s="2">
        <v>-4000</v>
      </c>
      <c r="F52" s="3">
        <v>-5.8823529411764712E-2</v>
      </c>
      <c r="G52" t="str">
        <f t="shared" si="0"/>
        <v>Within Limit</v>
      </c>
    </row>
    <row r="53" spans="1:7" x14ac:dyDescent="0.25">
      <c r="A53" t="s">
        <v>21</v>
      </c>
      <c r="B53" t="s">
        <v>8</v>
      </c>
      <c r="C53" s="2">
        <v>205000</v>
      </c>
      <c r="D53" s="2">
        <v>202000</v>
      </c>
      <c r="E53" s="2">
        <v>-3000</v>
      </c>
      <c r="F53" s="3">
        <v>-1.4634146341463421E-2</v>
      </c>
      <c r="G53" t="str">
        <f t="shared" si="0"/>
        <v>Within Limit</v>
      </c>
    </row>
    <row r="54" spans="1:7" x14ac:dyDescent="0.25">
      <c r="A54" t="s">
        <v>21</v>
      </c>
      <c r="B54" t="s">
        <v>9</v>
      </c>
      <c r="C54" s="2">
        <v>60000</v>
      </c>
      <c r="D54" s="2">
        <v>60000</v>
      </c>
      <c r="E54" s="2">
        <v>0</v>
      </c>
      <c r="F54" s="3">
        <v>0</v>
      </c>
      <c r="G54" t="str">
        <f t="shared" si="0"/>
        <v>Within Limit</v>
      </c>
    </row>
    <row r="55" spans="1:7" x14ac:dyDescent="0.25">
      <c r="A55" t="s">
        <v>21</v>
      </c>
      <c r="B55" t="s">
        <v>10</v>
      </c>
      <c r="C55" s="2">
        <v>34000</v>
      </c>
      <c r="D55" s="2">
        <v>32000</v>
      </c>
      <c r="E55" s="2">
        <v>-2000</v>
      </c>
      <c r="F55" s="3">
        <v>-5.8823529411764712E-2</v>
      </c>
      <c r="G55" t="str">
        <f t="shared" si="0"/>
        <v>Within Limit</v>
      </c>
    </row>
    <row r="56" spans="1:7" x14ac:dyDescent="0.25">
      <c r="A56" t="s">
        <v>21</v>
      </c>
      <c r="B56" t="s">
        <v>11</v>
      </c>
      <c r="C56" s="2">
        <v>35000</v>
      </c>
      <c r="D56" s="2">
        <v>31000</v>
      </c>
      <c r="E56" s="2">
        <v>-4000</v>
      </c>
      <c r="F56" s="3">
        <v>-0.1142857142857143</v>
      </c>
      <c r="G56" t="str">
        <f t="shared" si="0"/>
        <v>Material Gap</v>
      </c>
    </row>
    <row r="57" spans="1:7" x14ac:dyDescent="0.25">
      <c r="A57" t="s">
        <v>22</v>
      </c>
      <c r="B57" t="s">
        <v>7</v>
      </c>
      <c r="C57" s="2">
        <v>70000</v>
      </c>
      <c r="D57" s="2">
        <v>76000</v>
      </c>
      <c r="E57" s="2">
        <v>6000</v>
      </c>
      <c r="F57" s="3">
        <v>8.5714285714285715E-2</v>
      </c>
      <c r="G57" t="str">
        <f t="shared" si="0"/>
        <v>Within Limit</v>
      </c>
    </row>
    <row r="58" spans="1:7" x14ac:dyDescent="0.25">
      <c r="A58" t="s">
        <v>22</v>
      </c>
      <c r="B58" t="s">
        <v>8</v>
      </c>
      <c r="C58" s="2">
        <v>210000</v>
      </c>
      <c r="D58" s="2">
        <v>214000</v>
      </c>
      <c r="E58" s="2">
        <v>4000</v>
      </c>
      <c r="F58" s="3">
        <v>1.9047619047619049E-2</v>
      </c>
      <c r="G58" t="str">
        <f t="shared" si="0"/>
        <v>Within Limit</v>
      </c>
    </row>
    <row r="59" spans="1:7" x14ac:dyDescent="0.25">
      <c r="A59" t="s">
        <v>22</v>
      </c>
      <c r="B59" t="s">
        <v>9</v>
      </c>
      <c r="C59" s="2">
        <v>60000</v>
      </c>
      <c r="D59" s="2">
        <v>60000</v>
      </c>
      <c r="E59" s="2">
        <v>0</v>
      </c>
      <c r="F59" s="3">
        <v>0</v>
      </c>
      <c r="G59" t="str">
        <f t="shared" si="0"/>
        <v>Within Limit</v>
      </c>
    </row>
    <row r="60" spans="1:7" x14ac:dyDescent="0.25">
      <c r="A60" t="s">
        <v>22</v>
      </c>
      <c r="B60" t="s">
        <v>10</v>
      </c>
      <c r="C60" s="2">
        <v>35000</v>
      </c>
      <c r="D60" s="2">
        <v>39000</v>
      </c>
      <c r="E60" s="2">
        <v>4000</v>
      </c>
      <c r="F60" s="3">
        <v>0.1142857142857143</v>
      </c>
      <c r="G60" t="str">
        <f t="shared" si="0"/>
        <v>Material Gap</v>
      </c>
    </row>
    <row r="61" spans="1:7" x14ac:dyDescent="0.25">
      <c r="A61" t="s">
        <v>22</v>
      </c>
      <c r="B61" t="s">
        <v>11</v>
      </c>
      <c r="C61" s="2">
        <v>38000</v>
      </c>
      <c r="D61" s="2">
        <v>42000</v>
      </c>
      <c r="E61" s="2">
        <v>4000</v>
      </c>
      <c r="F61" s="3">
        <v>0.10526315789473679</v>
      </c>
      <c r="G61" t="str">
        <f t="shared" si="0"/>
        <v>Material Gap</v>
      </c>
    </row>
  </sheetData>
  <autoFilter ref="A1:F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2026-09-23T13:17:48Z</dcterms:created>
  <dcterms:modified xsi:type="dcterms:W3CDTF">2026-09-23T13:22:54Z</dcterms:modified>
</cp:coreProperties>
</file>